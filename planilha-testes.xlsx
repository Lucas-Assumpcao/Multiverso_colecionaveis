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s" sheetId="1" state="visible" r:id="rId3"/>
    <sheet name="Resumo" sheetId="2" state="visible" r:id="rId4"/>
  </sheets>
  <definedNames>
    <definedName function="false" hidden="true" localSheetId="0" name="_xlnm._FilterDatabase" vbProcedure="false">Testes!$A$1:$G$62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<sst xmlns="http://schemas.openxmlformats.org/spreadsheetml/2006/main" count="387" uniqueCount="151">
  <si>
    <t xml:space="preserve">Nº</t>
  </si>
  <si>
    <t xml:space="preserve">Camada</t>
  </si>
  <si>
    <t xml:space="preserve">Área</t>
  </si>
  <si>
    <t xml:space="preserve">O que foi testado</t>
  </si>
  <si>
    <t xml:space="preserve">Resultado esperado</t>
  </si>
  <si>
    <t xml:space="preserve">Como foi executado</t>
  </si>
  <si>
    <t xml:space="preserve">Status</t>
  </si>
  <si>
    <t xml:space="preserve">Automático — npm test</t>
  </si>
  <si>
    <t xml:space="preserve">Catálogo</t>
  </si>
  <si>
    <t xml:space="preserve">GET /produtos</t>
  </si>
  <si>
    <t xml:space="preserve">200 e lista não vazia</t>
  </si>
  <si>
    <t xml:space="preserve">OK</t>
  </si>
  <si>
    <t xml:space="preserve">GET /produtos/:id com id válido</t>
  </si>
  <si>
    <t xml:space="preserve">200 com o produto</t>
  </si>
  <si>
    <t xml:space="preserve">GET /produtos/:id com id inexistente</t>
  </si>
  <si>
    <t xml:space="preserve">404</t>
  </si>
  <si>
    <t xml:space="preserve">GET /produtos?nome=goku</t>
  </si>
  <si>
    <t xml:space="preserve">200 e todos os nomes contêm 'goku'</t>
  </si>
  <si>
    <t xml:space="preserve">GET /categorias</t>
  </si>
  <si>
    <t xml:space="preserve">200 com as categorias</t>
  </si>
  <si>
    <t xml:space="preserve">GET /produtos/categoria/:id</t>
  </si>
  <si>
    <t xml:space="preserve">200 e lista de produtos da categoria</t>
  </si>
  <si>
    <t xml:space="preserve">Cliente e login</t>
  </si>
  <si>
    <t xml:space="preserve">POST /clientes com dados completos</t>
  </si>
  <si>
    <t xml:space="preserve">201</t>
  </si>
  <si>
    <t xml:space="preserve">POST /clientes sem senha</t>
  </si>
  <si>
    <t xml:space="preserve">400</t>
  </si>
  <si>
    <t xml:space="preserve">POST /clientes com e-mail repetido</t>
  </si>
  <si>
    <t xml:space="preserve">409</t>
  </si>
  <si>
    <t xml:space="preserve">POST /login com credenciais corretas</t>
  </si>
  <si>
    <t xml:space="preserve">200, token e sem senha_hash na resposta</t>
  </si>
  <si>
    <t xml:space="preserve">POST /login com senha errada</t>
  </si>
  <si>
    <t xml:space="preserve">401</t>
  </si>
  <si>
    <t xml:space="preserve">POST /login com e-mail inexistente</t>
  </si>
  <si>
    <t xml:space="preserve">401 com a mesma mensagem da senha errada</t>
  </si>
  <si>
    <t xml:space="preserve">Autenticação</t>
  </si>
  <si>
    <t xml:space="preserve">POST /pedidos sem token</t>
  </si>
  <si>
    <t xml:space="preserve">POST /pedidos com token inválido</t>
  </si>
  <si>
    <t xml:space="preserve">Pedidos</t>
  </si>
  <si>
    <t xml:space="preserve">Pedido válido enviando valor_frete 0</t>
  </si>
  <si>
    <t xml:space="preserve">201 (o valor enviado é ignorado)</t>
  </si>
  <si>
    <t xml:space="preserve">Estoque após o pedido de 2 unidades</t>
  </si>
  <si>
    <t xml:space="preserve">Estoque reduzido em 2</t>
  </si>
  <si>
    <t xml:space="preserve">Frete e total gravados</t>
  </si>
  <si>
    <t xml:space="preserve">Frete = valor fixo do servidor; total = preço × 2 + frete</t>
  </si>
  <si>
    <t xml:space="preserve">Quantidade -1</t>
  </si>
  <si>
    <t xml:space="preserve">Quantidade 0</t>
  </si>
  <si>
    <t xml:space="preserve">Lista de itens vazia</t>
  </si>
  <si>
    <t xml:space="preserve">Produto inexistente</t>
  </si>
  <si>
    <t xml:space="preserve">Quantidade maior que o estoque</t>
  </si>
  <si>
    <t xml:space="preserve">409 e estoque inalterado</t>
  </si>
  <si>
    <t xml:space="preserve">Endereço de outro cliente</t>
  </si>
  <si>
    <t xml:space="preserve">GET /pedidos/:id de outro cliente</t>
  </si>
  <si>
    <t xml:space="preserve">GET /pedidos do cliente</t>
  </si>
  <si>
    <t xml:space="preserve">Lista inclui o pedido criado</t>
  </si>
  <si>
    <t xml:space="preserve">Pagamento</t>
  </si>
  <si>
    <t xml:space="preserve">POST /pagamentos/:id de pedido de outro cliente</t>
  </si>
  <si>
    <t xml:space="preserve">404 sem chamar o Mercado Pago</t>
  </si>
  <si>
    <t xml:space="preserve">POST /pagamentos/:id com preferência real</t>
  </si>
  <si>
    <t xml:space="preserve">200 e init_point do Mercado Pago</t>
  </si>
  <si>
    <t xml:space="preserve">Automático — RUN_MP=1 (opcional)</t>
  </si>
  <si>
    <t xml:space="preserve">Opcional</t>
  </si>
  <si>
    <t xml:space="preserve">POST /webhooks/mercadopago com corpo vazio</t>
  </si>
  <si>
    <t xml:space="preserve">200</t>
  </si>
  <si>
    <t xml:space="preserve">Admin</t>
  </si>
  <si>
    <t xml:space="preserve">POST /admin/login com credenciais corretas</t>
  </si>
  <si>
    <t xml:space="preserve">200 e token</t>
  </si>
  <si>
    <t xml:space="preserve">POST /admin/login com senha errada</t>
  </si>
  <si>
    <t xml:space="preserve">GET /admin/pedidos com token de cliente</t>
  </si>
  <si>
    <t xml:space="preserve">403</t>
  </si>
  <si>
    <t xml:space="preserve">GET /admin/pedidos sem token</t>
  </si>
  <si>
    <t xml:space="preserve">GET /admin/pedidos com token de admin</t>
  </si>
  <si>
    <t xml:space="preserve">200 e lista</t>
  </si>
  <si>
    <t xml:space="preserve">Atualizar status com valor inválido</t>
  </si>
  <si>
    <t xml:space="preserve">Atualizar status para 'pago'</t>
  </si>
  <si>
    <t xml:space="preserve">200 e status mantido na listagem</t>
  </si>
  <si>
    <t xml:space="preserve">Criar produto</t>
  </si>
  <si>
    <t xml:space="preserve">Editar produto</t>
  </si>
  <si>
    <t xml:space="preserve">Remover produto e consultar de novo</t>
  </si>
  <si>
    <t xml:space="preserve">200 e depois 404</t>
  </si>
  <si>
    <t xml:space="preserve">Criar produto com token de cliente</t>
  </si>
  <si>
    <t xml:space="preserve">Manual — navegador</t>
  </si>
  <si>
    <t xml:space="preserve">Home lista as categorias</t>
  </si>
  <si>
    <t xml:space="preserve">3 categorias clicáveis</t>
  </si>
  <si>
    <t xml:space="preserve">Categoria lista os produtos</t>
  </si>
  <si>
    <t xml:space="preserve">Produtos da categoria com foto, nome e preço</t>
  </si>
  <si>
    <t xml:space="preserve">Categoria sem produtos</t>
  </si>
  <si>
    <t xml:space="preserve">Mensagem de lista vazia</t>
  </si>
  <si>
    <t xml:space="preserve">Back-end desligado</t>
  </si>
  <si>
    <t xml:space="preserve">Mensagem de erro, sem travar em 'carregando'</t>
  </si>
  <si>
    <t xml:space="preserve">Busca pelo campo do topo</t>
  </si>
  <si>
    <t xml:space="preserve">Resultados da busca ou mensagem de vazio</t>
  </si>
  <si>
    <t xml:space="preserve">Fotos nos cards e no detalhe</t>
  </si>
  <si>
    <t xml:space="preserve">Imagens dos 18 produtos aparecem</t>
  </si>
  <si>
    <t xml:space="preserve">Identidade</t>
  </si>
  <si>
    <t xml:space="preserve">Fontes Poppins e Inter</t>
  </si>
  <si>
    <t xml:space="preserve">Títulos em Poppins e texto em Inter</t>
  </si>
  <si>
    <t xml:space="preserve">Carrinho</t>
  </si>
  <si>
    <t xml:space="preserve">Adicionar à coleção no detalhe</t>
  </si>
  <si>
    <t xml:space="preserve">Item entra no carrinho e o botão confirma</t>
  </si>
  <si>
    <t xml:space="preserve">Produto sem estoque</t>
  </si>
  <si>
    <t xml:space="preserve">Botão desabilitado</t>
  </si>
  <si>
    <t xml:space="preserve">Carrinho após recarregar a página</t>
  </si>
  <si>
    <t xml:space="preserve">Itens preservados</t>
  </si>
  <si>
    <t xml:space="preserve">Manual — navegador (F5)</t>
  </si>
  <si>
    <t xml:space="preserve">A confirmar</t>
  </si>
  <si>
    <t xml:space="preserve">Conta</t>
  </si>
  <si>
    <t xml:space="preserve">Cadastro pelo formulário</t>
  </si>
  <si>
    <t xml:space="preserve">Conta criada e redireciona ao login</t>
  </si>
  <si>
    <t xml:space="preserve">Login pelo formulário</t>
  </si>
  <si>
    <t xml:space="preserve">Token salvo e redireciona à Home</t>
  </si>
  <si>
    <t xml:space="preserve">Compra</t>
  </si>
  <si>
    <t xml:space="preserve">Preenchimento do endereço pelo CEP</t>
  </si>
  <si>
    <t xml:space="preserve">Rua, bairro, cidade e UF preenchidos sozinhos</t>
  </si>
  <si>
    <t xml:space="preserve">Compra completa até o Mercado Pago e retorno</t>
  </si>
  <si>
    <t xml:space="preserve">Página de confirmação mostra o número do pedido</t>
  </si>
  <si>
    <t xml:space="preserve">Quantidade acima do estoque no pagamento</t>
  </si>
  <si>
    <t xml:space="preserve">Mensagem de estoque insuficiente na tela</t>
  </si>
  <si>
    <t xml:space="preserve">Tela Meus Pedidos</t>
  </si>
  <si>
    <t xml:space="preserve">Pedidos do cliente do mais recente ao mais antigo</t>
  </si>
  <si>
    <t xml:space="preserve">Erros</t>
  </si>
  <si>
    <t xml:space="preserve">Rota inexistente</t>
  </si>
  <si>
    <t xml:space="preserve">Tela 404 da marca</t>
  </si>
  <si>
    <t xml:space="preserve">Login de administrador em /admin</t>
  </si>
  <si>
    <t xml:space="preserve">Painel exibido</t>
  </si>
  <si>
    <t xml:space="preserve">CRUD de produtos pela interface</t>
  </si>
  <si>
    <t xml:space="preserve">Criar, editar e remover refletidos na lista</t>
  </si>
  <si>
    <t xml:space="preserve">Alterar status de pedido pela interface</t>
  </si>
  <si>
    <t xml:space="preserve">Status mantido ao recarregar</t>
  </si>
  <si>
    <t xml:space="preserve">Interface</t>
  </si>
  <si>
    <t xml:space="preserve">Layout responsivo a 360 px</t>
  </si>
  <si>
    <t xml:space="preserve">Telas legíveis, sem rolagem horizontal</t>
  </si>
  <si>
    <t xml:space="preserve">Manual — navegador (360 px)</t>
  </si>
  <si>
    <t xml:space="preserve">Pendente</t>
  </si>
  <si>
    <t xml:space="preserve">Contraste do texto de erro em vermelho</t>
  </si>
  <si>
    <t xml:space="preserve">Razão mínima de 4,5:1 (variante #C42B38)</t>
  </si>
  <si>
    <t xml:space="preserve">Manual — conferir após o ajuste</t>
  </si>
  <si>
    <t xml:space="preserve">Resumo dos testes — Multiverso Colecionáveis</t>
  </si>
  <si>
    <t xml:space="preserve">Total de testes registrados</t>
  </si>
  <si>
    <t xml:space="preserve">Status: OK</t>
  </si>
  <si>
    <t xml:space="preserve">Status: A confirmar</t>
  </si>
  <si>
    <t xml:space="preserve">Status: Pendente</t>
  </si>
  <si>
    <t xml:space="preserve">Status: Opcional</t>
  </si>
  <si>
    <t xml:space="preserve">Testes automáticos (npm test)</t>
  </si>
  <si>
    <t xml:space="preserve">Testes manuais no navegador</t>
  </si>
  <si>
    <t xml:space="preserve">Concluídos (OK) sobre o total</t>
  </si>
  <si>
    <t xml:space="preserve">Notas</t>
  </si>
  <si>
    <t xml:space="preserve">Data da execução: 25/10/2026, ambiente local (Node.js + MySQL 8, front em localhost:5173 e API em localhost:3000).</t>
  </si>
  <si>
    <t xml:space="preserve">Os testes automáticos estão em tests/api.test.js. O resultado 'OK' foi informado pelo autor após rodar npm test, com todos os casos passando.</t>
  </si>
  <si>
    <t xml:space="preserve">'Opcional' = só roda com a variável RUN_MP=1, porque chama o Mercado Pago de verdade (ambiente de testes).</t>
  </si>
  <si>
    <t xml:space="preserve">'A confirmar' e 'Pendente' devem virar OK (ou virar um defeito registrado) depois de executados; não alterar sem executar.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</si>
</sst>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B700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2E7D32"/>
      <name val="Arial"/>
      <family val="0"/>
      <charset val="1"/>
    </font>
    <font>
      <b val="true"/>
      <sz val="9.5"/>
      <color rgb="FF555555"/>
      <name val="Arial"/>
      <family val="0"/>
      <charset val="1"/>
    </font>
    <font>
      <b val="true"/>
      <sz val="9.5"/>
      <color rgb="FF8A6D00"/>
      <name val="Arial"/>
      <family val="0"/>
      <charset val="1"/>
    </font>
    <font>
      <b val="true"/>
      <sz val="9.5"/>
      <color rgb="FFB3202D"/>
      <name val="Arial"/>
      <family val="0"/>
      <charset val="1"/>
    </font>
    <font>
      <b val="true"/>
      <sz val="14"/>
      <color rgb="FF2D1B4E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1B4E"/>
        <bgColor rgb="FF333399"/>
      </patternFill>
    </fill>
    <fill>
      <patternFill patternType="solid">
        <fgColor rgb="FFF7F7F7"/>
        <bgColor rgb="FFE3F1E4"/>
      </patternFill>
    </fill>
    <fill>
      <patternFill patternType="solid">
        <fgColor rgb="FFE3F1E4"/>
        <bgColor rgb="FFE9E9EF"/>
      </patternFill>
    </fill>
    <fill>
      <patternFill patternType="solid">
        <fgColor rgb="FFE9E9EF"/>
        <bgColor rgb="FFE3F1E4"/>
      </patternFill>
    </fill>
    <fill>
      <patternFill patternType="solid">
        <fgColor rgb="FFFFF3CD"/>
        <bgColor rgb="FFF7F7F7"/>
      </patternFill>
    </fill>
    <fill>
      <patternFill patternType="solid">
        <fgColor rgb="FFF8D7D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D1B4E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B700"/>
          <bgColor rgb="FF000000"/>
        </patternFill>
      </fill>
    </dxf>
    <dxf>
      <fill>
        <patternFill patternType="solid">
          <fgColor rgb="FFE3F1E4"/>
          <bgColor rgb="FF000000"/>
        </patternFill>
      </fill>
    </dxf>
    <dxf>
      <fill>
        <patternFill patternType="solid">
          <fgColor rgb="FFE9E9E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B3202D"/>
          <bgColor rgb="FF000000"/>
        </patternFill>
      </fill>
    </dxf>
  </dxf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FF3CD"/>
      <rgbColor rgb="FFE9E9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E4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5B7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B3202D"/>
      <rgbColor rgb="FF993366"/>
      <rgbColor rgb="FF333399"/>
      <rgbColor rgb="FF2D1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7.75" hidden="false" customHeight="tru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7</v>
      </c>
      <c r="G2" s="4" t="s">
        <v>11</v>
      </c>
    </row>
    <row r="3" customFormat="false" ht="27.75" hidden="false" customHeight="true" outlineLevel="0" collapsed="false">
      <c r="A3" s="5" t="n">
        <v>2</v>
      </c>
      <c r="B3" s="6" t="s">
        <v>7</v>
      </c>
      <c r="C3" s="6" t="s">
        <v>8</v>
      </c>
      <c r="D3" s="6" t="s">
        <v>12</v>
      </c>
      <c r="E3" s="6" t="s">
        <v>13</v>
      </c>
      <c r="F3" s="6" t="s">
        <v>7</v>
      </c>
      <c r="G3" s="4" t="s">
        <v>11</v>
      </c>
    </row>
    <row r="4" customFormat="false" ht="27.75" hidden="false" customHeight="true" outlineLevel="0" collapsed="false">
      <c r="A4" s="2" t="n">
        <v>3</v>
      </c>
      <c r="B4" s="3" t="s">
        <v>7</v>
      </c>
      <c r="C4" s="3" t="s">
        <v>8</v>
      </c>
      <c r="D4" s="3" t="s">
        <v>14</v>
      </c>
      <c r="E4" s="3" t="s">
        <v>15</v>
      </c>
      <c r="F4" s="3" t="s">
        <v>7</v>
      </c>
      <c r="G4" s="4" t="s">
        <v>11</v>
      </c>
    </row>
    <row r="5" customFormat="false" ht="27.75" hidden="false" customHeight="true" outlineLevel="0" collapsed="false">
      <c r="A5" s="5" t="n">
        <v>4</v>
      </c>
      <c r="B5" s="6" t="s">
        <v>7</v>
      </c>
      <c r="C5" s="6" t="s">
        <v>8</v>
      </c>
      <c r="D5" s="6" t="s">
        <v>16</v>
      </c>
      <c r="E5" s="6" t="s">
        <v>17</v>
      </c>
      <c r="F5" s="6" t="s">
        <v>7</v>
      </c>
      <c r="G5" s="4" t="s">
        <v>11</v>
      </c>
    </row>
    <row r="6" customFormat="false" ht="27.75" hidden="false" customHeight="true" outlineLevel="0" collapsed="false">
      <c r="A6" s="2" t="n">
        <v>5</v>
      </c>
      <c r="B6" s="3" t="s">
        <v>7</v>
      </c>
      <c r="C6" s="3" t="s">
        <v>8</v>
      </c>
      <c r="D6" s="3" t="s">
        <v>18</v>
      </c>
      <c r="E6" s="3" t="s">
        <v>19</v>
      </c>
      <c r="F6" s="3" t="s">
        <v>7</v>
      </c>
      <c r="G6" s="4" t="s">
        <v>11</v>
      </c>
    </row>
    <row r="7" customFormat="false" ht="27.75" hidden="false" customHeight="true" outlineLevel="0" collapsed="false">
      <c r="A7" s="5" t="n">
        <v>6</v>
      </c>
      <c r="B7" s="6" t="s">
        <v>7</v>
      </c>
      <c r="C7" s="6" t="s">
        <v>8</v>
      </c>
      <c r="D7" s="6" t="s">
        <v>20</v>
      </c>
      <c r="E7" s="6" t="s">
        <v>21</v>
      </c>
      <c r="F7" s="6" t="s">
        <v>7</v>
      </c>
      <c r="G7" s="4" t="s">
        <v>11</v>
      </c>
    </row>
    <row r="8" customFormat="false" ht="27.75" hidden="false" customHeight="true" outlineLevel="0" collapsed="false">
      <c r="A8" s="2" t="n">
        <v>7</v>
      </c>
      <c r="B8" s="3" t="s">
        <v>7</v>
      </c>
      <c r="C8" s="3" t="s">
        <v>22</v>
      </c>
      <c r="D8" s="3" t="s">
        <v>23</v>
      </c>
      <c r="E8" s="3" t="s">
        <v>24</v>
      </c>
      <c r="F8" s="3" t="s">
        <v>7</v>
      </c>
      <c r="G8" s="4" t="s">
        <v>11</v>
      </c>
    </row>
    <row r="9" customFormat="false" ht="27.75" hidden="false" customHeight="true" outlineLevel="0" collapsed="false">
      <c r="A9" s="5" t="n">
        <v>8</v>
      </c>
      <c r="B9" s="6" t="s">
        <v>7</v>
      </c>
      <c r="C9" s="6" t="s">
        <v>22</v>
      </c>
      <c r="D9" s="6" t="s">
        <v>25</v>
      </c>
      <c r="E9" s="6" t="s">
        <v>26</v>
      </c>
      <c r="F9" s="6" t="s">
        <v>7</v>
      </c>
      <c r="G9" s="4" t="s">
        <v>11</v>
      </c>
    </row>
    <row r="10" customFormat="false" ht="27.75" hidden="false" customHeight="true" outlineLevel="0" collapsed="false">
      <c r="A10" s="2" t="n">
        <v>9</v>
      </c>
      <c r="B10" s="3" t="s">
        <v>7</v>
      </c>
      <c r="C10" s="3" t="s">
        <v>22</v>
      </c>
      <c r="D10" s="3" t="s">
        <v>27</v>
      </c>
      <c r="E10" s="3" t="s">
        <v>28</v>
      </c>
      <c r="F10" s="3" t="s">
        <v>7</v>
      </c>
      <c r="G10" s="4" t="s">
        <v>11</v>
      </c>
    </row>
    <row r="11" customFormat="false" ht="27.75" hidden="false" customHeight="true" outlineLevel="0" collapsed="false">
      <c r="A11" s="5" t="n">
        <v>10</v>
      </c>
      <c r="B11" s="6" t="s">
        <v>7</v>
      </c>
      <c r="C11" s="6" t="s">
        <v>22</v>
      </c>
      <c r="D11" s="6" t="s">
        <v>29</v>
      </c>
      <c r="E11" s="6" t="s">
        <v>30</v>
      </c>
      <c r="F11" s="6" t="s">
        <v>7</v>
      </c>
      <c r="G11" s="4" t="s">
        <v>11</v>
      </c>
    </row>
    <row r="12" customFormat="false" ht="27.75" hidden="false" customHeight="true" outlineLevel="0" collapsed="false">
      <c r="A12" s="2" t="n">
        <v>11</v>
      </c>
      <c r="B12" s="3" t="s">
        <v>7</v>
      </c>
      <c r="C12" s="3" t="s">
        <v>22</v>
      </c>
      <c r="D12" s="3" t="s">
        <v>31</v>
      </c>
      <c r="E12" s="3" t="s">
        <v>32</v>
      </c>
      <c r="F12" s="3" t="s">
        <v>7</v>
      </c>
      <c r="G12" s="4" t="s">
        <v>11</v>
      </c>
    </row>
    <row r="13" customFormat="false" ht="27.75" hidden="false" customHeight="true" outlineLevel="0" collapsed="false">
      <c r="A13" s="5" t="n">
        <v>12</v>
      </c>
      <c r="B13" s="6" t="s">
        <v>7</v>
      </c>
      <c r="C13" s="6" t="s">
        <v>22</v>
      </c>
      <c r="D13" s="6" t="s">
        <v>33</v>
      </c>
      <c r="E13" s="6" t="s">
        <v>34</v>
      </c>
      <c r="F13" s="6" t="s">
        <v>7</v>
      </c>
      <c r="G13" s="4" t="s">
        <v>11</v>
      </c>
    </row>
    <row r="14" customFormat="false" ht="27.75" hidden="false" customHeight="true" outlineLevel="0" collapsed="false">
      <c r="A14" s="2" t="n">
        <v>13</v>
      </c>
      <c r="B14" s="3" t="s">
        <v>7</v>
      </c>
      <c r="C14" s="3" t="s">
        <v>35</v>
      </c>
      <c r="D14" s="3" t="s">
        <v>36</v>
      </c>
      <c r="E14" s="3" t="s">
        <v>32</v>
      </c>
      <c r="F14" s="3" t="s">
        <v>7</v>
      </c>
      <c r="G14" s="4" t="s">
        <v>11</v>
      </c>
    </row>
    <row r="15" customFormat="false" ht="27.75" hidden="false" customHeight="true" outlineLevel="0" collapsed="false">
      <c r="A15" s="5" t="n">
        <v>14</v>
      </c>
      <c r="B15" s="6" t="s">
        <v>7</v>
      </c>
      <c r="C15" s="6" t="s">
        <v>35</v>
      </c>
      <c r="D15" s="6" t="s">
        <v>37</v>
      </c>
      <c r="E15" s="6" t="s">
        <v>32</v>
      </c>
      <c r="F15" s="6" t="s">
        <v>7</v>
      </c>
      <c r="G15" s="4" t="s">
        <v>11</v>
      </c>
    </row>
    <row r="16" customFormat="false" ht="27.75" hidden="false" customHeight="true" outlineLevel="0" collapsed="false">
      <c r="A16" s="2" t="n">
        <v>15</v>
      </c>
      <c r="B16" s="3" t="s">
        <v>7</v>
      </c>
      <c r="C16" s="3" t="s">
        <v>38</v>
      </c>
      <c r="D16" s="3" t="s">
        <v>39</v>
      </c>
      <c r="E16" s="3" t="s">
        <v>40</v>
      </c>
      <c r="F16" s="3" t="s">
        <v>7</v>
      </c>
      <c r="G16" s="4" t="s">
        <v>11</v>
      </c>
    </row>
    <row r="17" customFormat="false" ht="27.75" hidden="false" customHeight="true" outlineLevel="0" collapsed="false">
      <c r="A17" s="5" t="n">
        <v>16</v>
      </c>
      <c r="B17" s="6" t="s">
        <v>7</v>
      </c>
      <c r="C17" s="6" t="s">
        <v>38</v>
      </c>
      <c r="D17" s="6" t="s">
        <v>41</v>
      </c>
      <c r="E17" s="6" t="s">
        <v>42</v>
      </c>
      <c r="F17" s="6" t="s">
        <v>7</v>
      </c>
      <c r="G17" s="4" t="s">
        <v>11</v>
      </c>
    </row>
    <row r="18" customFormat="false" ht="27.75" hidden="false" customHeight="true" outlineLevel="0" collapsed="false">
      <c r="A18" s="2" t="n">
        <v>17</v>
      </c>
      <c r="B18" s="3" t="s">
        <v>7</v>
      </c>
      <c r="C18" s="3" t="s">
        <v>38</v>
      </c>
      <c r="D18" s="3" t="s">
        <v>43</v>
      </c>
      <c r="E18" s="3" t="s">
        <v>44</v>
      </c>
      <c r="F18" s="3" t="s">
        <v>7</v>
      </c>
      <c r="G18" s="4" t="s">
        <v>11</v>
      </c>
    </row>
    <row r="19" customFormat="false" ht="27.75" hidden="false" customHeight="true" outlineLevel="0" collapsed="false">
      <c r="A19" s="5" t="n">
        <v>18</v>
      </c>
      <c r="B19" s="6" t="s">
        <v>7</v>
      </c>
      <c r="C19" s="6" t="s">
        <v>38</v>
      </c>
      <c r="D19" s="6" t="s">
        <v>45</v>
      </c>
      <c r="E19" s="6" t="s">
        <v>26</v>
      </c>
      <c r="F19" s="6" t="s">
        <v>7</v>
      </c>
      <c r="G19" s="4" t="s">
        <v>11</v>
      </c>
    </row>
    <row r="20" customFormat="false" ht="27.75" hidden="false" customHeight="true" outlineLevel="0" collapsed="false">
      <c r="A20" s="2" t="n">
        <v>19</v>
      </c>
      <c r="B20" s="3" t="s">
        <v>7</v>
      </c>
      <c r="C20" s="3" t="s">
        <v>38</v>
      </c>
      <c r="D20" s="3" t="s">
        <v>46</v>
      </c>
      <c r="E20" s="3" t="s">
        <v>26</v>
      </c>
      <c r="F20" s="3" t="s">
        <v>7</v>
      </c>
      <c r="G20" s="4" t="s">
        <v>11</v>
      </c>
    </row>
    <row r="21" customFormat="false" ht="27.75" hidden="false" customHeight="true" outlineLevel="0" collapsed="false">
      <c r="A21" s="5" t="n">
        <v>20</v>
      </c>
      <c r="B21" s="6" t="s">
        <v>7</v>
      </c>
      <c r="C21" s="6" t="s">
        <v>38</v>
      </c>
      <c r="D21" s="6" t="s">
        <v>47</v>
      </c>
      <c r="E21" s="6" t="s">
        <v>26</v>
      </c>
      <c r="F21" s="6" t="s">
        <v>7</v>
      </c>
      <c r="G21" s="4" t="s">
        <v>11</v>
      </c>
    </row>
    <row r="22" customFormat="false" ht="27.75" hidden="false" customHeight="true" outlineLevel="0" collapsed="false">
      <c r="A22" s="2" t="n">
        <v>21</v>
      </c>
      <c r="B22" s="3" t="s">
        <v>7</v>
      </c>
      <c r="C22" s="3" t="s">
        <v>38</v>
      </c>
      <c r="D22" s="3" t="s">
        <v>48</v>
      </c>
      <c r="E22" s="3" t="s">
        <v>15</v>
      </c>
      <c r="F22" s="3" t="s">
        <v>7</v>
      </c>
      <c r="G22" s="4" t="s">
        <v>11</v>
      </c>
    </row>
    <row r="23" customFormat="false" ht="27.75" hidden="false" customHeight="true" outlineLevel="0" collapsed="false">
      <c r="A23" s="5" t="n">
        <v>22</v>
      </c>
      <c r="B23" s="6" t="s">
        <v>7</v>
      </c>
      <c r="C23" s="6" t="s">
        <v>38</v>
      </c>
      <c r="D23" s="6" t="s">
        <v>49</v>
      </c>
      <c r="E23" s="6" t="s">
        <v>50</v>
      </c>
      <c r="F23" s="6" t="s">
        <v>7</v>
      </c>
      <c r="G23" s="4" t="s">
        <v>11</v>
      </c>
    </row>
    <row r="24" customFormat="false" ht="27.75" hidden="false" customHeight="true" outlineLevel="0" collapsed="false">
      <c r="A24" s="2" t="n">
        <v>23</v>
      </c>
      <c r="B24" s="3" t="s">
        <v>7</v>
      </c>
      <c r="C24" s="3" t="s">
        <v>38</v>
      </c>
      <c r="D24" s="3" t="s">
        <v>51</v>
      </c>
      <c r="E24" s="3" t="s">
        <v>15</v>
      </c>
      <c r="F24" s="3" t="s">
        <v>7</v>
      </c>
      <c r="G24" s="4" t="s">
        <v>11</v>
      </c>
    </row>
    <row r="25" customFormat="false" ht="27.75" hidden="false" customHeight="true" outlineLevel="0" collapsed="false">
      <c r="A25" s="5" t="n">
        <v>24</v>
      </c>
      <c r="B25" s="6" t="s">
        <v>7</v>
      </c>
      <c r="C25" s="6" t="s">
        <v>38</v>
      </c>
      <c r="D25" s="6" t="s">
        <v>52</v>
      </c>
      <c r="E25" s="6" t="s">
        <v>15</v>
      </c>
      <c r="F25" s="6" t="s">
        <v>7</v>
      </c>
      <c r="G25" s="4" t="s">
        <v>11</v>
      </c>
    </row>
    <row r="26" customFormat="false" ht="27.75" hidden="false" customHeight="true" outlineLevel="0" collapsed="false">
      <c r="A26" s="2" t="n">
        <v>25</v>
      </c>
      <c r="B26" s="3" t="s">
        <v>7</v>
      </c>
      <c r="C26" s="3" t="s">
        <v>38</v>
      </c>
      <c r="D26" s="3" t="s">
        <v>53</v>
      </c>
      <c r="E26" s="3" t="s">
        <v>54</v>
      </c>
      <c r="F26" s="3" t="s">
        <v>7</v>
      </c>
      <c r="G26" s="4" t="s">
        <v>11</v>
      </c>
    </row>
    <row r="27" customFormat="false" ht="27.75" hidden="false" customHeight="true" outlineLevel="0" collapsed="false">
      <c r="A27" s="5" t="n">
        <v>26</v>
      </c>
      <c r="B27" s="6" t="s">
        <v>7</v>
      </c>
      <c r="C27" s="6" t="s">
        <v>55</v>
      </c>
      <c r="D27" s="6" t="s">
        <v>56</v>
      </c>
      <c r="E27" s="6" t="s">
        <v>57</v>
      </c>
      <c r="F27" s="6" t="s">
        <v>7</v>
      </c>
      <c r="G27" s="4" t="s">
        <v>11</v>
      </c>
    </row>
    <row r="28" customFormat="false" ht="27.75" hidden="false" customHeight="true" outlineLevel="0" collapsed="false">
      <c r="A28" s="2" t="n">
        <v>27</v>
      </c>
      <c r="B28" s="3" t="s">
        <v>7</v>
      </c>
      <c r="C28" s="3" t="s">
        <v>55</v>
      </c>
      <c r="D28" s="3" t="s">
        <v>58</v>
      </c>
      <c r="E28" s="3" t="s">
        <v>59</v>
      </c>
      <c r="F28" s="3" t="s">
        <v>60</v>
      </c>
      <c r="G28" s="7" t="s">
        <v>61</v>
      </c>
    </row>
    <row r="29" customFormat="false" ht="27.75" hidden="false" customHeight="true" outlineLevel="0" collapsed="false">
      <c r="A29" s="5" t="n">
        <v>28</v>
      </c>
      <c r="B29" s="6" t="s">
        <v>7</v>
      </c>
      <c r="C29" s="6" t="s">
        <v>55</v>
      </c>
      <c r="D29" s="6" t="s">
        <v>62</v>
      </c>
      <c r="E29" s="6" t="s">
        <v>63</v>
      </c>
      <c r="F29" s="6" t="s">
        <v>7</v>
      </c>
      <c r="G29" s="4" t="s">
        <v>11</v>
      </c>
    </row>
    <row r="30" customFormat="false" ht="27.75" hidden="false" customHeight="true" outlineLevel="0" collapsed="false">
      <c r="A30" s="2" t="n">
        <v>29</v>
      </c>
      <c r="B30" s="3" t="s">
        <v>7</v>
      </c>
      <c r="C30" s="3" t="s">
        <v>64</v>
      </c>
      <c r="D30" s="3" t="s">
        <v>65</v>
      </c>
      <c r="E30" s="3" t="s">
        <v>66</v>
      </c>
      <c r="F30" s="3" t="s">
        <v>7</v>
      </c>
      <c r="G30" s="4" t="s">
        <v>11</v>
      </c>
    </row>
    <row r="31" customFormat="false" ht="27.75" hidden="false" customHeight="true" outlineLevel="0" collapsed="false">
      <c r="A31" s="5" t="n">
        <v>30</v>
      </c>
      <c r="B31" s="6" t="s">
        <v>7</v>
      </c>
      <c r="C31" s="6" t="s">
        <v>64</v>
      </c>
      <c r="D31" s="6" t="s">
        <v>67</v>
      </c>
      <c r="E31" s="6" t="s">
        <v>32</v>
      </c>
      <c r="F31" s="6" t="s">
        <v>7</v>
      </c>
      <c r="G31" s="4" t="s">
        <v>11</v>
      </c>
    </row>
    <row r="32" customFormat="false" ht="27.75" hidden="false" customHeight="true" outlineLevel="0" collapsed="false">
      <c r="A32" s="2" t="n">
        <v>31</v>
      </c>
      <c r="B32" s="3" t="s">
        <v>7</v>
      </c>
      <c r="C32" s="3" t="s">
        <v>64</v>
      </c>
      <c r="D32" s="3" t="s">
        <v>68</v>
      </c>
      <c r="E32" s="3" t="s">
        <v>69</v>
      </c>
      <c r="F32" s="3" t="s">
        <v>7</v>
      </c>
      <c r="G32" s="4" t="s">
        <v>11</v>
      </c>
    </row>
    <row r="33" customFormat="false" ht="27.75" hidden="false" customHeight="true" outlineLevel="0" collapsed="false">
      <c r="A33" s="5" t="n">
        <v>32</v>
      </c>
      <c r="B33" s="6" t="s">
        <v>7</v>
      </c>
      <c r="C33" s="6" t="s">
        <v>64</v>
      </c>
      <c r="D33" s="6" t="s">
        <v>70</v>
      </c>
      <c r="E33" s="6" t="s">
        <v>32</v>
      </c>
      <c r="F33" s="6" t="s">
        <v>7</v>
      </c>
      <c r="G33" s="4" t="s">
        <v>11</v>
      </c>
    </row>
    <row r="34" customFormat="false" ht="27.75" hidden="false" customHeight="true" outlineLevel="0" collapsed="false">
      <c r="A34" s="2" t="n">
        <v>33</v>
      </c>
      <c r="B34" s="3" t="s">
        <v>7</v>
      </c>
      <c r="C34" s="3" t="s">
        <v>64</v>
      </c>
      <c r="D34" s="3" t="s">
        <v>71</v>
      </c>
      <c r="E34" s="3" t="s">
        <v>72</v>
      </c>
      <c r="F34" s="3" t="s">
        <v>7</v>
      </c>
      <c r="G34" s="4" t="s">
        <v>11</v>
      </c>
    </row>
    <row r="35" customFormat="false" ht="27.75" hidden="false" customHeight="true" outlineLevel="0" collapsed="false">
      <c r="A35" s="5" t="n">
        <v>34</v>
      </c>
      <c r="B35" s="6" t="s">
        <v>7</v>
      </c>
      <c r="C35" s="6" t="s">
        <v>64</v>
      </c>
      <c r="D35" s="6" t="s">
        <v>73</v>
      </c>
      <c r="E35" s="6" t="s">
        <v>26</v>
      </c>
      <c r="F35" s="6" t="s">
        <v>7</v>
      </c>
      <c r="G35" s="4" t="s">
        <v>11</v>
      </c>
    </row>
    <row r="36" customFormat="false" ht="27.75" hidden="false" customHeight="true" outlineLevel="0" collapsed="false">
      <c r="A36" s="2" t="n">
        <v>35</v>
      </c>
      <c r="B36" s="3" t="s">
        <v>7</v>
      </c>
      <c r="C36" s="3" t="s">
        <v>64</v>
      </c>
      <c r="D36" s="3" t="s">
        <v>74</v>
      </c>
      <c r="E36" s="3" t="s">
        <v>75</v>
      </c>
      <c r="F36" s="3" t="s">
        <v>7</v>
      </c>
      <c r="G36" s="4" t="s">
        <v>11</v>
      </c>
    </row>
    <row r="37" customFormat="false" ht="27.75" hidden="false" customHeight="true" outlineLevel="0" collapsed="false">
      <c r="A37" s="5" t="n">
        <v>36</v>
      </c>
      <c r="B37" s="6" t="s">
        <v>7</v>
      </c>
      <c r="C37" s="6" t="s">
        <v>64</v>
      </c>
      <c r="D37" s="6" t="s">
        <v>76</v>
      </c>
      <c r="E37" s="6" t="s">
        <v>24</v>
      </c>
      <c r="F37" s="6" t="s">
        <v>7</v>
      </c>
      <c r="G37" s="4" t="s">
        <v>11</v>
      </c>
    </row>
    <row r="38" customFormat="false" ht="27.75" hidden="false" customHeight="true" outlineLevel="0" collapsed="false">
      <c r="A38" s="2" t="n">
        <v>37</v>
      </c>
      <c r="B38" s="3" t="s">
        <v>7</v>
      </c>
      <c r="C38" s="3" t="s">
        <v>64</v>
      </c>
      <c r="D38" s="3" t="s">
        <v>77</v>
      </c>
      <c r="E38" s="3" t="s">
        <v>63</v>
      </c>
      <c r="F38" s="3" t="s">
        <v>7</v>
      </c>
      <c r="G38" s="4" t="s">
        <v>11</v>
      </c>
    </row>
    <row r="39" customFormat="false" ht="27.75" hidden="false" customHeight="true" outlineLevel="0" collapsed="false">
      <c r="A39" s="5" t="n">
        <v>38</v>
      </c>
      <c r="B39" s="6" t="s">
        <v>7</v>
      </c>
      <c r="C39" s="6" t="s">
        <v>64</v>
      </c>
      <c r="D39" s="6" t="s">
        <v>78</v>
      </c>
      <c r="E39" s="6" t="s">
        <v>79</v>
      </c>
      <c r="F39" s="6" t="s">
        <v>7</v>
      </c>
      <c r="G39" s="4" t="s">
        <v>11</v>
      </c>
    </row>
    <row r="40" customFormat="false" ht="27.75" hidden="false" customHeight="true" outlineLevel="0" collapsed="false">
      <c r="A40" s="2" t="n">
        <v>39</v>
      </c>
      <c r="B40" s="3" t="s">
        <v>7</v>
      </c>
      <c r="C40" s="3" t="s">
        <v>64</v>
      </c>
      <c r="D40" s="3" t="s">
        <v>80</v>
      </c>
      <c r="E40" s="3" t="s">
        <v>69</v>
      </c>
      <c r="F40" s="3" t="s">
        <v>7</v>
      </c>
      <c r="G40" s="4" t="s">
        <v>11</v>
      </c>
    </row>
    <row r="41" customFormat="false" ht="27.75" hidden="false" customHeight="true" outlineLevel="0" collapsed="false">
      <c r="A41" s="5" t="n">
        <v>40</v>
      </c>
      <c r="B41" s="6" t="s">
        <v>81</v>
      </c>
      <c r="C41" s="6" t="s">
        <v>8</v>
      </c>
      <c r="D41" s="6" t="s">
        <v>82</v>
      </c>
      <c r="E41" s="6" t="s">
        <v>83</v>
      </c>
      <c r="F41" s="6" t="s">
        <v>81</v>
      </c>
      <c r="G41" s="4" t="s">
        <v>11</v>
      </c>
    </row>
    <row r="42" customFormat="false" ht="27.75" hidden="false" customHeight="true" outlineLevel="0" collapsed="false">
      <c r="A42" s="2" t="n">
        <v>41</v>
      </c>
      <c r="B42" s="3" t="s">
        <v>81</v>
      </c>
      <c r="C42" s="3" t="s">
        <v>8</v>
      </c>
      <c r="D42" s="3" t="s">
        <v>84</v>
      </c>
      <c r="E42" s="3" t="s">
        <v>85</v>
      </c>
      <c r="F42" s="3" t="s">
        <v>81</v>
      </c>
      <c r="G42" s="4" t="s">
        <v>11</v>
      </c>
    </row>
    <row r="43" customFormat="false" ht="27.75" hidden="false" customHeight="true" outlineLevel="0" collapsed="false">
      <c r="A43" s="5" t="n">
        <v>42</v>
      </c>
      <c r="B43" s="6" t="s">
        <v>81</v>
      </c>
      <c r="C43" s="6" t="s">
        <v>8</v>
      </c>
      <c r="D43" s="6" t="s">
        <v>86</v>
      </c>
      <c r="E43" s="6" t="s">
        <v>87</v>
      </c>
      <c r="F43" s="6" t="s">
        <v>81</v>
      </c>
      <c r="G43" s="4" t="s">
        <v>11</v>
      </c>
    </row>
    <row r="44" customFormat="false" ht="27.75" hidden="false" customHeight="true" outlineLevel="0" collapsed="false">
      <c r="A44" s="2" t="n">
        <v>43</v>
      </c>
      <c r="B44" s="3" t="s">
        <v>81</v>
      </c>
      <c r="C44" s="3" t="s">
        <v>8</v>
      </c>
      <c r="D44" s="3" t="s">
        <v>88</v>
      </c>
      <c r="E44" s="3" t="s">
        <v>89</v>
      </c>
      <c r="F44" s="3" t="s">
        <v>81</v>
      </c>
      <c r="G44" s="4" t="s">
        <v>11</v>
      </c>
    </row>
    <row r="45" customFormat="false" ht="27.75" hidden="false" customHeight="true" outlineLevel="0" collapsed="false">
      <c r="A45" s="5" t="n">
        <v>44</v>
      </c>
      <c r="B45" s="6" t="s">
        <v>81</v>
      </c>
      <c r="C45" s="6" t="s">
        <v>8</v>
      </c>
      <c r="D45" s="6" t="s">
        <v>90</v>
      </c>
      <c r="E45" s="6" t="s">
        <v>91</v>
      </c>
      <c r="F45" s="6" t="s">
        <v>81</v>
      </c>
      <c r="G45" s="4" t="s">
        <v>11</v>
      </c>
    </row>
    <row r="46" customFormat="false" ht="27.75" hidden="false" customHeight="true" outlineLevel="0" collapsed="false">
      <c r="A46" s="2" t="n">
        <v>45</v>
      </c>
      <c r="B46" s="3" t="s">
        <v>81</v>
      </c>
      <c r="C46" s="3" t="s">
        <v>8</v>
      </c>
      <c r="D46" s="3" t="s">
        <v>92</v>
      </c>
      <c r="E46" s="3" t="s">
        <v>93</v>
      </c>
      <c r="F46" s="3" t="s">
        <v>81</v>
      </c>
      <c r="G46" s="4" t="s">
        <v>11</v>
      </c>
    </row>
    <row r="47" customFormat="false" ht="27.75" hidden="false" customHeight="true" outlineLevel="0" collapsed="false">
      <c r="A47" s="5" t="n">
        <v>46</v>
      </c>
      <c r="B47" s="6" t="s">
        <v>81</v>
      </c>
      <c r="C47" s="6" t="s">
        <v>94</v>
      </c>
      <c r="D47" s="6" t="s">
        <v>95</v>
      </c>
      <c r="E47" s="6" t="s">
        <v>96</v>
      </c>
      <c r="F47" s="6" t="s">
        <v>81</v>
      </c>
      <c r="G47" s="4" t="s">
        <v>11</v>
      </c>
    </row>
    <row r="48" customFormat="false" ht="27.75" hidden="false" customHeight="true" outlineLevel="0" collapsed="false">
      <c r="A48" s="2" t="n">
        <v>47</v>
      </c>
      <c r="B48" s="3" t="s">
        <v>81</v>
      </c>
      <c r="C48" s="3" t="s">
        <v>97</v>
      </c>
      <c r="D48" s="3" t="s">
        <v>98</v>
      </c>
      <c r="E48" s="3" t="s">
        <v>99</v>
      </c>
      <c r="F48" s="3" t="s">
        <v>81</v>
      </c>
      <c r="G48" s="4" t="s">
        <v>11</v>
      </c>
    </row>
    <row r="49" customFormat="false" ht="27.75" hidden="false" customHeight="true" outlineLevel="0" collapsed="false">
      <c r="A49" s="5" t="n">
        <v>48</v>
      </c>
      <c r="B49" s="6" t="s">
        <v>81</v>
      </c>
      <c r="C49" s="6" t="s">
        <v>97</v>
      </c>
      <c r="D49" s="6" t="s">
        <v>100</v>
      </c>
      <c r="E49" s="6" t="s">
        <v>101</v>
      </c>
      <c r="F49" s="6" t="s">
        <v>81</v>
      </c>
      <c r="G49" s="4" t="s">
        <v>11</v>
      </c>
    </row>
    <row r="50" customFormat="false" ht="27.75" hidden="false" customHeight="true" outlineLevel="0" collapsed="false">
      <c r="A50" s="2" t="n">
        <v>49</v>
      </c>
      <c r="B50" s="3" t="s">
        <v>81</v>
      </c>
      <c r="C50" s="3" t="s">
        <v>97</v>
      </c>
      <c r="D50" s="3" t="s">
        <v>102</v>
      </c>
      <c r="E50" s="3" t="s">
        <v>103</v>
      </c>
      <c r="F50" s="3" t="s">
        <v>104</v>
      </c>
      <c r="G50" s="8" t="s">
        <v>105</v>
      </c>
    </row>
    <row r="51" customFormat="false" ht="27.75" hidden="false" customHeight="true" outlineLevel="0" collapsed="false">
      <c r="A51" s="5" t="n">
        <v>50</v>
      </c>
      <c r="B51" s="6" t="s">
        <v>81</v>
      </c>
      <c r="C51" s="6" t="s">
        <v>106</v>
      </c>
      <c r="D51" s="6" t="s">
        <v>107</v>
      </c>
      <c r="E51" s="6" t="s">
        <v>108</v>
      </c>
      <c r="F51" s="6" t="s">
        <v>81</v>
      </c>
      <c r="G51" s="4" t="s">
        <v>11</v>
      </c>
    </row>
    <row r="52" customFormat="false" ht="27.75" hidden="false" customHeight="true" outlineLevel="0" collapsed="false">
      <c r="A52" s="2" t="n">
        <v>51</v>
      </c>
      <c r="B52" s="3" t="s">
        <v>81</v>
      </c>
      <c r="C52" s="3" t="s">
        <v>106</v>
      </c>
      <c r="D52" s="3" t="s">
        <v>109</v>
      </c>
      <c r="E52" s="3" t="s">
        <v>110</v>
      </c>
      <c r="F52" s="3" t="s">
        <v>81</v>
      </c>
      <c r="G52" s="4" t="s">
        <v>11</v>
      </c>
    </row>
    <row r="53" customFormat="false" ht="27.75" hidden="false" customHeight="true" outlineLevel="0" collapsed="false">
      <c r="A53" s="5" t="n">
        <v>52</v>
      </c>
      <c r="B53" s="6" t="s">
        <v>81</v>
      </c>
      <c r="C53" s="6" t="s">
        <v>111</v>
      </c>
      <c r="D53" s="6" t="s">
        <v>112</v>
      </c>
      <c r="E53" s="6" t="s">
        <v>113</v>
      </c>
      <c r="F53" s="6" t="s">
        <v>81</v>
      </c>
      <c r="G53" s="8" t="s">
        <v>105</v>
      </c>
    </row>
    <row r="54" customFormat="false" ht="27.75" hidden="false" customHeight="true" outlineLevel="0" collapsed="false">
      <c r="A54" s="2" t="n">
        <v>53</v>
      </c>
      <c r="B54" s="3" t="s">
        <v>81</v>
      </c>
      <c r="C54" s="3" t="s">
        <v>111</v>
      </c>
      <c r="D54" s="3" t="s">
        <v>114</v>
      </c>
      <c r="E54" s="3" t="s">
        <v>115</v>
      </c>
      <c r="F54" s="3" t="s">
        <v>81</v>
      </c>
      <c r="G54" s="4" t="s">
        <v>11</v>
      </c>
    </row>
    <row r="55" customFormat="false" ht="27.75" hidden="false" customHeight="true" outlineLevel="0" collapsed="false">
      <c r="A55" s="5" t="n">
        <v>54</v>
      </c>
      <c r="B55" s="6" t="s">
        <v>81</v>
      </c>
      <c r="C55" s="6" t="s">
        <v>111</v>
      </c>
      <c r="D55" s="6" t="s">
        <v>116</v>
      </c>
      <c r="E55" s="6" t="s">
        <v>117</v>
      </c>
      <c r="F55" s="6" t="s">
        <v>81</v>
      </c>
      <c r="G55" s="4" t="s">
        <v>11</v>
      </c>
    </row>
    <row r="56" customFormat="false" ht="27.75" hidden="false" customHeight="true" outlineLevel="0" collapsed="false">
      <c r="A56" s="2" t="n">
        <v>55</v>
      </c>
      <c r="B56" s="3" t="s">
        <v>81</v>
      </c>
      <c r="C56" s="3" t="s">
        <v>111</v>
      </c>
      <c r="D56" s="3" t="s">
        <v>118</v>
      </c>
      <c r="E56" s="3" t="s">
        <v>119</v>
      </c>
      <c r="F56" s="3" t="s">
        <v>81</v>
      </c>
      <c r="G56" s="4" t="s">
        <v>11</v>
      </c>
    </row>
    <row r="57" customFormat="false" ht="27.75" hidden="false" customHeight="true" outlineLevel="0" collapsed="false">
      <c r="A57" s="5" t="n">
        <v>56</v>
      </c>
      <c r="B57" s="6" t="s">
        <v>81</v>
      </c>
      <c r="C57" s="6" t="s">
        <v>120</v>
      </c>
      <c r="D57" s="6" t="s">
        <v>121</v>
      </c>
      <c r="E57" s="6" t="s">
        <v>122</v>
      </c>
      <c r="F57" s="6" t="s">
        <v>81</v>
      </c>
      <c r="G57" s="4" t="s">
        <v>11</v>
      </c>
    </row>
    <row r="58" customFormat="false" ht="27.75" hidden="false" customHeight="true" outlineLevel="0" collapsed="false">
      <c r="A58" s="2" t="n">
        <v>57</v>
      </c>
      <c r="B58" s="3" t="s">
        <v>81</v>
      </c>
      <c r="C58" s="3" t="s">
        <v>64</v>
      </c>
      <c r="D58" s="3" t="s">
        <v>123</v>
      </c>
      <c r="E58" s="3" t="s">
        <v>124</v>
      </c>
      <c r="F58" s="3" t="s">
        <v>81</v>
      </c>
      <c r="G58" s="4" t="s">
        <v>11</v>
      </c>
    </row>
    <row r="59" customFormat="false" ht="27.75" hidden="false" customHeight="true" outlineLevel="0" collapsed="false">
      <c r="A59" s="5" t="n">
        <v>58</v>
      </c>
      <c r="B59" s="6" t="s">
        <v>81</v>
      </c>
      <c r="C59" s="6" t="s">
        <v>64</v>
      </c>
      <c r="D59" s="6" t="s">
        <v>125</v>
      </c>
      <c r="E59" s="6" t="s">
        <v>126</v>
      </c>
      <c r="F59" s="6" t="s">
        <v>81</v>
      </c>
      <c r="G59" s="4" t="s">
        <v>11</v>
      </c>
    </row>
    <row r="60" customFormat="false" ht="27.75" hidden="false" customHeight="true" outlineLevel="0" collapsed="false">
      <c r="A60" s="2" t="n">
        <v>59</v>
      </c>
      <c r="B60" s="3" t="s">
        <v>81</v>
      </c>
      <c r="C60" s="3" t="s">
        <v>64</v>
      </c>
      <c r="D60" s="3" t="s">
        <v>127</v>
      </c>
      <c r="E60" s="3" t="s">
        <v>128</v>
      </c>
      <c r="F60" s="3" t="s">
        <v>81</v>
      </c>
      <c r="G60" s="4" t="s">
        <v>11</v>
      </c>
    </row>
    <row r="61" customFormat="false" ht="27.75" hidden="false" customHeight="true" outlineLevel="0" collapsed="false">
      <c r="A61" s="5" t="n">
        <v>60</v>
      </c>
      <c r="B61" s="6" t="s">
        <v>81</v>
      </c>
      <c r="C61" s="6" t="s">
        <v>129</v>
      </c>
      <c r="D61" s="6" t="s">
        <v>130</v>
      </c>
      <c r="E61" s="6" t="s">
        <v>131</v>
      </c>
      <c r="F61" s="6" t="s">
        <v>132</v>
      </c>
      <c r="G61" s="9" t="s">
        <v>133</v>
      </c>
    </row>
    <row r="62" customFormat="false" ht="27.75" hidden="false" customHeight="true" outlineLevel="0" collapsed="false">
      <c r="A62" s="2" t="n">
        <v>61</v>
      </c>
      <c r="B62" s="3" t="s">
        <v>81</v>
      </c>
      <c r="C62" s="3" t="s">
        <v>129</v>
      </c>
      <c r="D62" s="3" t="s">
        <v>134</v>
      </c>
      <c r="E62" s="3" t="s">
        <v>135</v>
      </c>
      <c r="F62" s="3" t="s">
        <v>136</v>
      </c>
      <c r="G62" s="9" t="s">
        <v>133</v>
      </c>
    </row>
  </sheetData>
  <autoFilter ref="A1:G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0" t="s">
        <v>137</v>
      </c>
    </row>
    <row r="3" customFormat="false" ht="15" hidden="false" customHeight="false" outlineLevel="0" collapsed="false">
      <c r="A3" s="11" t="s">
        <v>138</v>
      </c>
      <c r="B3" s="12" t="n">
        <f aca="false">COUNTA(Testes!$A$2:$A$62)</f>
        <v>61</v>
      </c>
    </row>
    <row r="4" customFormat="false" ht="15" hidden="false" customHeight="false" outlineLevel="0" collapsed="false">
      <c r="A4" s="11" t="s">
        <v>139</v>
      </c>
      <c r="B4" s="12" t="n">
        <f aca="false">COUNTIF(Testes!$G$2:$G$62,"OK")</f>
        <v>56</v>
      </c>
    </row>
    <row r="5" customFormat="false" ht="15" hidden="false" customHeight="false" outlineLevel="0" collapsed="false">
      <c r="A5" s="11" t="s">
        <v>140</v>
      </c>
      <c r="B5" s="12" t="n">
        <f aca="false">COUNTIF(Testes!$G$2:$G$62,"A confirmar")</f>
        <v>2</v>
      </c>
    </row>
    <row r="6" customFormat="false" ht="15" hidden="false" customHeight="false" outlineLevel="0" collapsed="false">
      <c r="A6" s="11" t="s">
        <v>141</v>
      </c>
      <c r="B6" s="12" t="n">
        <f aca="false">COUNTIF(Testes!$G$2:$G$62,"Pendente")</f>
        <v>2</v>
      </c>
    </row>
    <row r="7" customFormat="false" ht="15" hidden="false" customHeight="false" outlineLevel="0" collapsed="false">
      <c r="A7" s="11" t="s">
        <v>142</v>
      </c>
      <c r="B7" s="12" t="n">
        <f aca="false">COUNTIF(Testes!$G$2:$G$62,"Opcional")</f>
        <v>1</v>
      </c>
    </row>
    <row r="8" customFormat="false" ht="15" hidden="false" customHeight="false" outlineLevel="0" collapsed="false">
      <c r="A8" s="11" t="s">
        <v>143</v>
      </c>
      <c r="B8" s="12" t="n">
        <f aca="false">COUNTIF(Testes!$B$2:$B$62,"Automático — npm test")</f>
        <v>39</v>
      </c>
    </row>
    <row r="9" customFormat="false" ht="15" hidden="false" customHeight="false" outlineLevel="0" collapsed="false">
      <c r="A9" s="11" t="s">
        <v>144</v>
      </c>
      <c r="B9" s="12" t="n">
        <f aca="false">COUNTIF(Testes!$B$2:$B$62,"Manual — navegador")</f>
        <v>22</v>
      </c>
    </row>
    <row r="10" customFormat="false" ht="15" hidden="false" customHeight="false" outlineLevel="0" collapsed="false">
      <c r="A10" s="11" t="s">
        <v>145</v>
      </c>
      <c r="B10" s="13" t="n">
        <f aca="false">IFERROR(B4/B3,0)</f>
        <v>0.918032786885246</v>
      </c>
    </row>
    <row r="13" customFormat="false" ht="15" hidden="false" customHeight="false" outlineLevel="0" collapsed="false">
      <c r="A13" s="14" t="s">
        <v>146</v>
      </c>
    </row>
    <row r="14" customFormat="false" ht="15" hidden="false" customHeight="false" outlineLevel="0" collapsed="false">
      <c r="A14" s="15" t="s">
        <v>147</v>
      </c>
    </row>
    <row r="15" customFormat="false" ht="15" hidden="false" customHeight="false" outlineLevel="0" collapsed="false">
      <c r="A15" s="15" t="s">
        <v>148</v>
      </c>
    </row>
    <row r="16" customFormat="false" ht="15" hidden="false" customHeight="false" outlineLevel="0" collapsed="false">
      <c r="A16" s="15" t="s">
        <v>149</v>
      </c>
    </row>
    <row r="17" customFormat="false" ht="15" hidden="false" customHeight="false" outlineLevel="0" collapsed="false">
      <c r="A17" s="15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2026-10-26T09:11:55Z</dcterms:created>
  <dc:creator>openpyxl</dc:creator>
  <dc:description/>
  <dc:language>en-US</dc:language>
  <cp:lastModifiedBy/>
  <dcterms:modified xsi:type="dcterms:W3CDTF">2026-10-26T09:11:55Z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